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57ff4c4df888da/Desktop/mmustafaraja-website/mmustafaraja.github.io/projects/"/>
    </mc:Choice>
  </mc:AlternateContent>
  <xr:revisionPtr revIDLastSave="0" documentId="8_{9F38D3B8-EC04-4D14-87E2-C89E49937AD4}" xr6:coauthVersionLast="47" xr6:coauthVersionMax="47" xr10:uidLastSave="{00000000-0000-0000-0000-000000000000}"/>
  <bookViews>
    <workbookView xWindow="-120" yWindow="-120" windowWidth="29040" windowHeight="15720" xr2:uid="{B95D4E33-92B4-44E3-B33A-5DB5FA63EE1E}"/>
  </bookViews>
  <sheets>
    <sheet name="VaR Calculator" sheetId="1" r:id="rId1"/>
    <sheet name="Distribution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G50" i="1"/>
  <c r="H37" i="1"/>
  <c r="H25" i="1"/>
  <c r="H24" i="1"/>
  <c r="H23" i="1"/>
  <c r="H22" i="1"/>
  <c r="H21" i="1"/>
  <c r="H20" i="1"/>
  <c r="H19" i="1"/>
  <c r="H18" i="1"/>
  <c r="H17" i="1"/>
  <c r="H16" i="1"/>
  <c r="H12" i="1"/>
  <c r="H11" i="1"/>
  <c r="H10" i="1"/>
  <c r="H9" i="1"/>
  <c r="H8" i="1"/>
  <c r="H7" i="1"/>
  <c r="H6" i="1"/>
  <c r="H38" i="1" l="1"/>
  <c r="H39" i="1" s="1"/>
  <c r="H40" i="1"/>
  <c r="I44" i="1"/>
  <c r="H31" i="1"/>
  <c r="H32" i="1" s="1"/>
  <c r="I25" i="1"/>
  <c r="I23" i="1"/>
  <c r="I22" i="1"/>
  <c r="I24" i="1"/>
  <c r="I21" i="1"/>
  <c r="I19" i="1"/>
  <c r="I20" i="1"/>
  <c r="I18" i="1"/>
  <c r="I17" i="1"/>
  <c r="I16" i="1"/>
  <c r="I45" i="1" l="1"/>
  <c r="I46" i="1"/>
  <c r="C55" i="1"/>
  <c r="H44" i="1"/>
  <c r="J44" i="1" s="1"/>
  <c r="G52" i="1" s="1"/>
  <c r="H33" i="1"/>
  <c r="H45" i="1" l="1"/>
  <c r="H46" i="1"/>
  <c r="J46" i="1" s="1"/>
  <c r="G51" i="1"/>
  <c r="C54" i="1"/>
  <c r="I47" i="1" l="1"/>
  <c r="J45" i="1"/>
  <c r="H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Mustafa Raja</author>
  </authors>
  <commentList>
    <comment ref="C6" authorId="0" shapeId="0" xr:uid="{309D342E-906E-4A2D-885E-77CA8E29C914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Enter your portfolio value here. Blue = user input.</t>
        </r>
      </text>
    </comment>
    <comment ref="C7" authorId="0" shapeId="0" xr:uid="{878E6BAA-B150-48A8-B4EA-A615E737E70B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Common values: 90%, 95%, 99%. Blue = user input.</t>
        </r>
      </text>
    </comment>
    <comment ref="C8" authorId="0" shapeId="0" xr:uid="{476F30D2-E419-470F-BDB9-329125E53FE0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VaR time horizon in trading days. 1 = daily, 5 = weekly, 21 = monthly. Blue = user input.</t>
        </r>
      </text>
    </comment>
    <comment ref="H31" authorId="0" shapeId="0" xr:uid="{D67D901E-231E-4958-A185-93D22A84323B}">
      <text>
        <r>
          <rPr>
            <b/>
            <sz val="9"/>
            <color indexed="81"/>
            <rFont val="Tahoma"/>
            <charset val="1"/>
          </rPr>
          <t>Historical VaR: Uses SMALL to find the (1-confidence)th percentile return from all 50 observations. At 95% confidence, this finds the 2.5th (rounded to 3rd) worst return.</t>
        </r>
      </text>
    </comment>
    <comment ref="H32" authorId="0" shapeId="0" xr:uid="{CCE85FD6-0C22-4F62-BA97-F2678E9D22FC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Time-scaled VaR return = Daily VaR × √(time horizon). Square root of time rule assumes returns are i.i.d.</t>
        </r>
      </text>
    </comment>
    <comment ref="H33" authorId="0" shapeId="0" xr:uid="{0C90C4A6-14F6-4AAF-A9F3-E2D1DDC6C3C1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Historical VaR in dollars = |scaled VaR return| × Portfolio Value. This is the maximum expected loss at the specified confidence level.</t>
        </r>
      </text>
    </comment>
    <comment ref="H37" authorId="0" shapeId="0" xr:uid="{56AE173C-5890-4010-BC26-246C372F8736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Z-score for the left tail. At 95% confidence, z = -1.645. This is the number of standard deviations from the mean.</t>
        </r>
      </text>
    </comment>
    <comment ref="H38" authorId="0" shapeId="0" xr:uid="{E24C533D-1226-4372-954C-18C6AAAB73D5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Parametric VaR return = Mean + (Z-score × Std Dev). Assumes returns are normally distributed.</t>
        </r>
      </text>
    </comment>
    <comment ref="H39" authorId="0" shapeId="0" xr:uid="{EF487E48-5E4C-4E0A-AD12-D49A63A26E87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Time-scaled VaR return = Daily VaR × √(time horizon). Square root of time rule.</t>
        </r>
      </text>
    </comment>
    <comment ref="H40" authorId="0" shapeId="0" xr:uid="{3440DC88-5D9C-471F-839B-821CF683D807}">
      <text>
        <r>
          <rPr>
            <b/>
            <sz val="9"/>
            <color indexed="81"/>
            <rFont val="Tahoma"/>
            <charset val="1"/>
          </rPr>
          <t>Mustafa Raja:</t>
        </r>
        <r>
          <rPr>
            <sz val="9"/>
            <color indexed="81"/>
            <rFont val="Tahoma"/>
            <charset val="1"/>
          </rPr>
          <t xml:space="preserve">
Parametric VaR in dollars = |scaled VaR return| × Portfolio Value. Assumes returns follow a normal distribution.</t>
        </r>
      </text>
    </comment>
  </commentList>
</comments>
</file>

<file path=xl/sharedStrings.xml><?xml version="1.0" encoding="utf-8"?>
<sst xmlns="http://schemas.openxmlformats.org/spreadsheetml/2006/main" count="88" uniqueCount="82">
  <si>
    <t>📊  VALUE AT RISK (VaR) CALCULATOR</t>
  </si>
  <si>
    <t>Measure the maximum expected portfolio loss at a given confidence level</t>
  </si>
  <si>
    <t>USER INPUTS</t>
  </si>
  <si>
    <t>Portfolio Value ($)</t>
  </si>
  <si>
    <t>← Enter your portfolio value</t>
  </si>
  <si>
    <t>Confidence Level</t>
  </si>
  <si>
    <t>← Common: 90%, 95%, 99%</t>
  </si>
  <si>
    <t>Time Horizon (days)</t>
  </si>
  <si>
    <t>← 1=daily, 5=weekly, 21=monthly</t>
  </si>
  <si>
    <t>HISTORICAL DAILY RETURNS</t>
  </si>
  <si>
    <t>Day</t>
  </si>
  <si>
    <t>Daily Return</t>
  </si>
  <si>
    <t>✏️ Replace the blue values above with your own portfolio's daily returns</t>
  </si>
  <si>
    <t>STATISTICAL SUMMARY</t>
  </si>
  <si>
    <t>Number of Observations</t>
  </si>
  <si>
    <t>Mean Daily Return</t>
  </si>
  <si>
    <t>Std Deviation (Daily)</t>
  </si>
  <si>
    <t>Min Daily Return</t>
  </si>
  <si>
    <t>Max Daily Return</t>
  </si>
  <si>
    <t>Skewness</t>
  </si>
  <si>
    <t>Kurtosis</t>
  </si>
  <si>
    <t>SORTED RETURNS (Worst → Best)</t>
  </si>
  <si>
    <t>Rank</t>
  </si>
  <si>
    <t>Sorted Return</t>
  </si>
  <si>
    <t>Percentile</t>
  </si>
  <si>
    <t>VaR RESULTS</t>
  </si>
  <si>
    <t>📊 METHOD 1: HISTORICAL VaR</t>
  </si>
  <si>
    <t>Approach:</t>
  </si>
  <si>
    <t>Sort actual returns, find the percentile cutoff</t>
  </si>
  <si>
    <t>VaR Percentile Return</t>
  </si>
  <si>
    <t>daily return</t>
  </si>
  <si>
    <t>Adj. for Time Horizon</t>
  </si>
  <si>
    <t>scaled return</t>
  </si>
  <si>
    <t>⚠️ Historical VaR ($)</t>
  </si>
  <si>
    <t>max expected loss</t>
  </si>
  <si>
    <t>📈 METHOD 2: PARAMETRIC VaR</t>
  </si>
  <si>
    <t>Assume normal distribution; use mean &amp; std dev</t>
  </si>
  <si>
    <t>Z-Score at Confidence</t>
  </si>
  <si>
    <t>left-tail z</t>
  </si>
  <si>
    <t>VaR Daily Return</t>
  </si>
  <si>
    <t>= μ + zσ</t>
  </si>
  <si>
    <t>⚠️ Parametric VaR ($)</t>
  </si>
  <si>
    <t>🔄 METHOD COMPARISON</t>
  </si>
  <si>
    <t>Historical</t>
  </si>
  <si>
    <t>Parametric</t>
  </si>
  <si>
    <t>Difference</t>
  </si>
  <si>
    <t>VaR Return</t>
  </si>
  <si>
    <t>VaR ($)</t>
  </si>
  <si>
    <t>VaR (% of Portfolio)</t>
  </si>
  <si>
    <t>More Conservative?</t>
  </si>
  <si>
    <t>📝 INTERPRETATION</t>
  </si>
  <si>
    <t>QUICK REFERENCE GUIDE</t>
  </si>
  <si>
    <t>🔵 Blue text</t>
  </si>
  <si>
    <t>= Editable inputs (change these!)</t>
  </si>
  <si>
    <t>⚫ Black text</t>
  </si>
  <si>
    <t>= Calculated formulas (auto-updates)</t>
  </si>
  <si>
    <t>🔴 Red text</t>
  </si>
  <si>
    <t>= VaR loss amounts</t>
  </si>
  <si>
    <t>🟡 Yellow cells</t>
  </si>
  <si>
    <t>= Key input cells to modify</t>
  </si>
  <si>
    <t>HOW TO USE:</t>
  </si>
  <si>
    <t>Enter your Portfolio Value in C6</t>
  </si>
  <si>
    <t>Set your Confidence Level in C7</t>
  </si>
  <si>
    <t>Choose Time Horizon in C8</t>
  </si>
  <si>
    <t>Replace sample returns with your data</t>
  </si>
  <si>
    <t>Results update automatically!</t>
  </si>
  <si>
    <t>Historical VaR</t>
  </si>
  <si>
    <t>Parametric VaR</t>
  </si>
  <si>
    <t>VaR Amount ($)</t>
  </si>
  <si>
    <t>Bin Label</t>
  </si>
  <si>
    <t>Frequency</t>
  </si>
  <si>
    <t>VaR Zone</t>
  </si>
  <si>
    <t>Safe Zone</t>
  </si>
  <si>
    <t>&lt; -2.0%</t>
  </si>
  <si>
    <t>-2.0 to -1.5%</t>
  </si>
  <si>
    <t>-1.5 to -1.0%</t>
  </si>
  <si>
    <t>-1.0 to -0.5%</t>
  </si>
  <si>
    <t>-0.5 to 0%</t>
  </si>
  <si>
    <t>0 to 0.5%</t>
  </si>
  <si>
    <t>0.5 to 1.0%</t>
  </si>
  <si>
    <t>1.0 to 1.5%</t>
  </si>
  <si>
    <t>&gt; 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</si>
</sst>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0.000%"/>
    <numFmt numFmtId="167" formatCode="0.000"/>
  </numFmts>
  <fonts count="37" x14ac:knownFonts="1">
    <font>
      <sz val="11"/>
      <color theme="1"/>
      <name val="Aptos Narrow"/>
      <family val="2"/>
      <scheme val="minor"/>
    </font>
    <font>
      <b/>
      <sz val="20"/>
      <color rgb="FFFFFFFF"/>
      <name val="Calibri"/>
    </font>
    <font>
      <i/>
      <sz val="11"/>
      <color rgb="FFA8C4E0"/>
      <name val="Calibri"/>
    </font>
    <font>
      <b/>
      <sz val="13"/>
      <color rgb="FF1B2A4A"/>
      <name val="Calibri"/>
    </font>
    <font>
      <sz val="11"/>
      <color rgb="FF333333"/>
      <name val="Calibri"/>
    </font>
    <font>
      <b/>
      <sz val="11"/>
      <color rgb="FF0000FF"/>
      <name val="Calibri"/>
    </font>
    <font>
      <i/>
      <sz val="10"/>
      <color rgb="FF88888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Calibri"/>
    </font>
    <font>
      <b/>
      <i/>
      <sz val="11"/>
      <color rgb="FFFFFFFF"/>
      <name val="Calibri"/>
    </font>
    <font>
      <sz val="10"/>
      <color theme="1"/>
      <name val="Calibri"/>
    </font>
    <font>
      <sz val="10"/>
      <color rgb="FF0000FF"/>
      <name val="Calibri"/>
    </font>
    <font>
      <i/>
      <sz val="10"/>
      <color rgb="FF0000FF"/>
      <name val="Calibri"/>
    </font>
    <font>
      <b/>
      <sz val="11"/>
      <color rgb="FF000000"/>
      <name val="Calibri"/>
    </font>
    <font>
      <b/>
      <sz val="11"/>
      <color rgb="FFCC0000"/>
      <name val="Calibri"/>
    </font>
    <font>
      <b/>
      <sz val="11"/>
      <color rgb="FF008000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sz val="10"/>
      <color rgb="FF333333"/>
      <name val="Calibri"/>
    </font>
    <font>
      <b/>
      <sz val="10"/>
      <color rgb="FF333333"/>
      <name val="Calibri"/>
    </font>
    <font>
      <i/>
      <sz val="10"/>
      <color rgb="FF555555"/>
      <name val="Calibri"/>
    </font>
    <font>
      <b/>
      <sz val="12"/>
      <color rgb="FFCC0000"/>
      <name val="Calibri"/>
    </font>
    <font>
      <b/>
      <sz val="14"/>
      <color rgb="FFCC0000"/>
      <name val="Calibri"/>
    </font>
    <font>
      <sz val="10"/>
      <color rgb="FFCC0000"/>
      <name val="Calibri"/>
    </font>
    <font>
      <i/>
      <sz val="10"/>
      <color rgb="FFCC0000"/>
      <name val="Calibri"/>
    </font>
    <font>
      <b/>
      <sz val="11"/>
      <color rgb="FF333333"/>
      <name val="Calibri"/>
    </font>
    <font>
      <b/>
      <sz val="11"/>
      <color theme="1"/>
      <name val="Calibri"/>
    </font>
    <font>
      <b/>
      <sz val="12"/>
      <color rgb="FF6B4C9A"/>
      <name val="Calibri"/>
    </font>
    <font>
      <b/>
      <sz val="11"/>
      <color rgb="FF6B4C9A"/>
      <name val="Calibri"/>
    </font>
    <font>
      <i/>
      <sz val="10"/>
      <color rgb="FF666666"/>
      <name val="Calibri"/>
    </font>
    <font>
      <sz val="10"/>
      <color rgb="FF000000"/>
      <name val="Calibri"/>
    </font>
    <font>
      <b/>
      <sz val="11"/>
      <color rgb="FF1B2A4A"/>
      <name val="Calibri"/>
    </font>
    <font>
      <b/>
      <sz val="10"/>
      <color rgb="FF2D8659"/>
      <name val="Calibri"/>
    </font>
    <font>
      <b/>
      <sz val="9"/>
      <color rgb="FF666666"/>
      <name val="Aptos Narrow"/>
      <family val="2"/>
      <scheme val="minor"/>
    </font>
    <font>
      <sz val="9"/>
      <color rgb="FF99999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3A7CA5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2D8659"/>
        <bgColor indexed="64"/>
      </patternFill>
    </fill>
    <fill>
      <patternFill patternType="solid">
        <fgColor rgb="FF6B4C9A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F9F9F0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  <border>
      <left/>
      <right/>
      <top style="thin">
        <color rgb="FFE8EEF4"/>
      </top>
      <bottom style="thin">
        <color rgb="FFE8EEF4"/>
      </bottom>
      <diagonal/>
    </border>
    <border>
      <left/>
      <right/>
      <top style="thin">
        <color rgb="FFE8EEF4"/>
      </top>
      <bottom/>
      <diagonal/>
    </border>
    <border>
      <left/>
      <right/>
      <top/>
      <bottom style="medium">
        <color rgb="FF2C3E6B"/>
      </bottom>
      <diagonal/>
    </border>
    <border>
      <left style="thick">
        <color rgb="FF1B2A4A"/>
      </left>
      <right/>
      <top/>
      <bottom/>
      <diagonal/>
    </border>
    <border>
      <left style="thick">
        <color rgb="FF1B2A4A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4" fillId="0" borderId="0" xfId="0" applyFont="1" applyAlignment="1">
      <alignment horizontal="right"/>
    </xf>
    <xf numFmtId="0" fontId="6" fillId="0" borderId="0" xfId="0" applyFont="1"/>
    <xf numFmtId="1" fontId="11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" fontId="11" fillId="6" borderId="0" xfId="0" applyNumberFormat="1" applyFont="1" applyFill="1" applyAlignment="1">
      <alignment horizontal="center"/>
    </xf>
    <xf numFmtId="10" fontId="12" fillId="6" borderId="0" xfId="0" applyNumberFormat="1" applyFont="1" applyFill="1" applyAlignment="1">
      <alignment horizontal="center"/>
    </xf>
    <xf numFmtId="0" fontId="13" fillId="0" borderId="0" xfId="0" applyFont="1"/>
    <xf numFmtId="166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166" fontId="11" fillId="6" borderId="0" xfId="0" applyNumberFormat="1" applyFont="1" applyFill="1" applyAlignment="1">
      <alignment horizontal="center"/>
    </xf>
    <xf numFmtId="165" fontId="11" fillId="6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0" fillId="7" borderId="0" xfId="0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right"/>
    </xf>
    <xf numFmtId="0" fontId="26" fillId="0" borderId="0" xfId="0" applyFont="1"/>
    <xf numFmtId="0" fontId="19" fillId="9" borderId="0" xfId="0" applyFont="1" applyFill="1" applyAlignment="1">
      <alignment horizontal="left"/>
    </xf>
    <xf numFmtId="0" fontId="0" fillId="9" borderId="0" xfId="0" applyFill="1"/>
    <xf numFmtId="0" fontId="6" fillId="0" borderId="0" xfId="0" quotePrefix="1" applyFont="1"/>
    <xf numFmtId="164" fontId="0" fillId="0" borderId="0" xfId="0" applyNumberFormat="1"/>
    <xf numFmtId="0" fontId="0" fillId="11" borderId="0" xfId="0" applyFill="1"/>
    <xf numFmtId="0" fontId="0" fillId="12" borderId="0" xfId="0" applyFill="1"/>
    <xf numFmtId="0" fontId="19" fillId="11" borderId="0" xfId="0" applyFont="1" applyFill="1" applyAlignment="1">
      <alignment horizontal="left"/>
    </xf>
    <xf numFmtId="0" fontId="12" fillId="6" borderId="0" xfId="0" applyFont="1" applyFill="1"/>
    <xf numFmtId="0" fontId="20" fillId="0" borderId="0" xfId="0" quotePrefix="1" applyFont="1"/>
    <xf numFmtId="0" fontId="20" fillId="6" borderId="0" xfId="0" quotePrefix="1" applyFont="1" applyFill="1"/>
    <xf numFmtId="0" fontId="32" fillId="0" borderId="0" xfId="0" applyFont="1"/>
    <xf numFmtId="0" fontId="25" fillId="6" borderId="0" xfId="0" applyFont="1" applyFill="1"/>
    <xf numFmtId="0" fontId="33" fillId="0" borderId="0" xfId="0" applyFont="1"/>
    <xf numFmtId="0" fontId="34" fillId="0" borderId="0" xfId="0" applyFont="1"/>
    <xf numFmtId="164" fontId="5" fillId="4" borderId="2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164" fontId="24" fillId="8" borderId="3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27" fillId="0" borderId="5" xfId="0" applyFont="1" applyBorder="1"/>
    <xf numFmtId="0" fontId="9" fillId="7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right"/>
    </xf>
    <xf numFmtId="166" fontId="28" fillId="6" borderId="9" xfId="0" applyNumberFormat="1" applyFont="1" applyFill="1" applyBorder="1" applyAlignment="1">
      <alignment horizontal="center"/>
    </xf>
    <xf numFmtId="166" fontId="28" fillId="6" borderId="10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right"/>
    </xf>
    <xf numFmtId="164" fontId="23" fillId="0" borderId="9" xfId="0" applyNumberFormat="1" applyFont="1" applyBorder="1" applyAlignment="1">
      <alignment horizontal="center"/>
    </xf>
    <xf numFmtId="164" fontId="29" fillId="0" borderId="10" xfId="0" applyNumberFormat="1" applyFont="1" applyBorder="1" applyAlignment="1">
      <alignment horizontal="center"/>
    </xf>
    <xf numFmtId="10" fontId="28" fillId="6" borderId="9" xfId="0" applyNumberFormat="1" applyFont="1" applyFill="1" applyBorder="1" applyAlignment="1">
      <alignment horizontal="center"/>
    </xf>
    <xf numFmtId="10" fontId="30" fillId="6" borderId="10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28" fillId="0" borderId="12" xfId="0" applyFont="1" applyBorder="1" applyAlignment="1">
      <alignment horizontal="center"/>
    </xf>
    <xf numFmtId="0" fontId="0" fillId="0" borderId="13" xfId="0" applyBorder="1"/>
    <xf numFmtId="1" fontId="14" fillId="0" borderId="0" xfId="0" applyNumberFormat="1" applyFont="1" applyBorder="1" applyAlignment="1">
      <alignment horizontal="center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166" fontId="14" fillId="0" borderId="15" xfId="0" applyNumberFormat="1" applyFont="1" applyBorder="1" applyAlignment="1">
      <alignment horizontal="center"/>
    </xf>
    <xf numFmtId="166" fontId="15" fillId="0" borderId="15" xfId="0" applyNumberFormat="1" applyFont="1" applyBorder="1" applyAlignment="1">
      <alignment horizontal="center"/>
    </xf>
    <xf numFmtId="166" fontId="16" fillId="0" borderId="15" xfId="0" applyNumberFormat="1" applyFont="1" applyBorder="1" applyAlignment="1">
      <alignment horizontal="center"/>
    </xf>
    <xf numFmtId="167" fontId="14" fillId="0" borderId="14" xfId="0" applyNumberFormat="1" applyFont="1" applyBorder="1" applyAlignment="1">
      <alignment horizontal="center"/>
    </xf>
    <xf numFmtId="167" fontId="14" fillId="0" borderId="15" xfId="0" applyNumberFormat="1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0" fillId="12" borderId="4" xfId="0" applyFill="1" applyBorder="1"/>
    <xf numFmtId="0" fontId="19" fillId="11" borderId="17" xfId="0" applyFont="1" applyFill="1" applyBorder="1"/>
    <xf numFmtId="0" fontId="4" fillId="12" borderId="17" xfId="0" applyFont="1" applyFill="1" applyBorder="1"/>
    <xf numFmtId="0" fontId="15" fillId="12" borderId="17" xfId="0" applyFont="1" applyFill="1" applyBorder="1"/>
    <xf numFmtId="0" fontId="31" fillId="12" borderId="18" xfId="0" applyFont="1" applyFill="1" applyBorder="1"/>
    <xf numFmtId="0" fontId="35" fillId="0" borderId="0" xfId="0" applyFont="1"/>
    <xf numFmtId="0" fontId="36" fillId="0" borderId="0" xfId="0" applyFont="1"/>
    <xf numFmtId="10" fontId="36" fillId="0" borderId="0" xfId="0" applyNumberFormat="1" applyFont="1"/>
  </cellXfs>
  <cellStyles count="1">
    <cellStyle name="Normal" xfId="0" builtinId="0"/>
  </cellStyles>
  <dxfs count="5">
    <dxf>
      <font>
        <color rgb="FFCC0000"/>
      </font>
    </dxf>
    <dxf>
      <font>
        <color rgb="FF0066CC"/>
      </font>
    </dxf>
    <dxf>
      <font>
        <color rgb="FFCC0000"/>
      </font>
    </dxf>
    <dxf>
      <font>
        <color rgb="FF0066CC"/>
      </font>
    </dxf>
    <dxf>
      <font>
        <color rgb="FFCC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B2A4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VaR Method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B2A4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 Calculator'!$C$53</c:f>
              <c:strCache>
                <c:ptCount val="1"/>
                <c:pt idx="0">
                  <c:v>VaR Amount ($)</c:v>
                </c:pt>
              </c:strCache>
            </c:strRef>
          </c:tx>
          <c:spPr>
            <a:solidFill>
              <a:srgbClr val="CC4444"/>
            </a:solidFill>
            <a:ln>
              <a:noFill/>
            </a:ln>
            <a:effectLst/>
          </c:spPr>
          <c:invertIfNegative val="0"/>
          <c:cat>
            <c:strRef>
              <c:f>'VaR Calculator'!$B$54:$B$55</c:f>
              <c:strCache>
                <c:ptCount val="2"/>
                <c:pt idx="0">
                  <c:v>Historical VaR</c:v>
                </c:pt>
                <c:pt idx="1">
                  <c:v>Parametric VaR</c:v>
                </c:pt>
              </c:strCache>
            </c:strRef>
          </c:cat>
          <c:val>
            <c:numRef>
              <c:f>'VaR Calculator'!$C$54:$C$55</c:f>
              <c:numCache>
                <c:formatCode>"$"#,##0</c:formatCode>
                <c:ptCount val="2"/>
                <c:pt idx="0">
                  <c:v>19800</c:v>
                </c:pt>
                <c:pt idx="1">
                  <c:v>17037.86426064606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8-40AC-BBFC-6B41C88EA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552495"/>
        <c:axId val="1450552975"/>
      </c:barChart>
      <c:catAx>
        <c:axId val="14505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552975"/>
        <c:crosses val="autoZero"/>
        <c:auto val="1"/>
        <c:lblAlgn val="ctr"/>
        <c:lblOffset val="100"/>
        <c:noMultiLvlLbl val="0"/>
      </c:catAx>
      <c:valAx>
        <c:axId val="14505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55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2A4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Return Distribution with VaR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2A4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⚠️ VaR Loss Tail</c:v>
          </c:tx>
          <c:spPr>
            <a:solidFill>
              <a:srgbClr val="DC3545"/>
            </a:solidFill>
            <a:ln>
              <a:noFill/>
            </a:ln>
            <a:effectLst/>
          </c:spPr>
          <c:invertIfNegative val="0"/>
          <c:cat>
            <c:strRef>
              <c:f>'Distribution Chart'!$A$2:$A$10</c:f>
              <c:strCache>
                <c:ptCount val="9"/>
                <c:pt idx="0">
                  <c:v>&lt; -2.0%</c:v>
                </c:pt>
                <c:pt idx="1">
                  <c:v>-2.0 to -1.5%</c:v>
                </c:pt>
                <c:pt idx="2">
                  <c:v>-1.5 to -1.0%</c:v>
                </c:pt>
                <c:pt idx="3">
                  <c:v>-1.0 to -0.5%</c:v>
                </c:pt>
                <c:pt idx="4">
                  <c:v>-0.5 to 0%</c:v>
                </c:pt>
                <c:pt idx="5">
                  <c:v>0 to 0.5%</c:v>
                </c:pt>
                <c:pt idx="6">
                  <c:v>0.5 to 1.0%</c:v>
                </c:pt>
                <c:pt idx="7">
                  <c:v>1.0 to 1.5%</c:v>
                </c:pt>
                <c:pt idx="8">
                  <c:v>&gt; 1.5%</c:v>
                </c:pt>
              </c:strCache>
            </c:strRef>
          </c:cat>
          <c:val>
            <c:numRef>
              <c:f>'Distribution Chart'!$C$2:$C$10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8-4B80-9A27-1F3E68257CB9}"/>
            </c:ext>
          </c:extLst>
        </c:ser>
        <c:ser>
          <c:idx val="2"/>
          <c:order val="1"/>
          <c:tx>
            <c:v>Within Tolerance</c:v>
          </c:tx>
          <c:spPr>
            <a:solidFill>
              <a:srgbClr val="3A7CA5"/>
            </a:solidFill>
            <a:ln>
              <a:noFill/>
            </a:ln>
            <a:effectLst/>
          </c:spPr>
          <c:invertIfNegative val="0"/>
          <c:cat>
            <c:strRef>
              <c:f>'Distribution Chart'!$A$2:$A$10</c:f>
              <c:strCache>
                <c:ptCount val="9"/>
                <c:pt idx="0">
                  <c:v>&lt; -2.0%</c:v>
                </c:pt>
                <c:pt idx="1">
                  <c:v>-2.0 to -1.5%</c:v>
                </c:pt>
                <c:pt idx="2">
                  <c:v>-1.5 to -1.0%</c:v>
                </c:pt>
                <c:pt idx="3">
                  <c:v>-1.0 to -0.5%</c:v>
                </c:pt>
                <c:pt idx="4">
                  <c:v>-0.5 to 0%</c:v>
                </c:pt>
                <c:pt idx="5">
                  <c:v>0 to 0.5%</c:v>
                </c:pt>
                <c:pt idx="6">
                  <c:v>0.5 to 1.0%</c:v>
                </c:pt>
                <c:pt idx="7">
                  <c:v>1.0 to 1.5%</c:v>
                </c:pt>
                <c:pt idx="8">
                  <c:v>&gt; 1.5%</c:v>
                </c:pt>
              </c:strCache>
            </c:strRef>
          </c:cat>
          <c:val>
            <c:numRef>
              <c:f>'Distribution Chart'!$D$2:$D$10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13</c:v>
                </c:pt>
                <c:pt idx="7">
                  <c:v>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8-4B80-9A27-1F3E6825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9712271"/>
        <c:axId val="1439713231"/>
      </c:barChart>
      <c:catAx>
        <c:axId val="143971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Daily Return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13231"/>
        <c:crosses val="autoZero"/>
        <c:auto val="1"/>
        <c:lblAlgn val="ctr"/>
        <c:lblOffset val="100"/>
        <c:noMultiLvlLbl val="0"/>
      </c:catAx>
      <c:valAx>
        <c:axId val="14397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12271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52</xdr:row>
      <xdr:rowOff>0</xdr:rowOff>
    </xdr:from>
    <xdr:to>
      <xdr:col>5</xdr:col>
      <xdr:colOff>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65491-5E28-040D-82FE-6CF0DA5F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52</xdr:row>
      <xdr:rowOff>95250</xdr:rowOff>
    </xdr:from>
    <xdr:to>
      <xdr:col>11</xdr:col>
      <xdr:colOff>0</xdr:colOff>
      <xdr:row>67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DF30B8-896E-4D7A-8A32-CAF321BB2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C11D47-8B67-4971-9F36-0604C81D785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e51f7c7-ae9e-41dc-a0d4-519ec0216fb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DAF0-65FB-4020-A8B3-CFE9414979FC}">
  <sheetPr>
    <tabColor rgb="FF1B2A4A"/>
  </sheetPr>
  <dimension ref="B1:S55"/>
  <sheetViews>
    <sheetView showGridLines="0" tabSelected="1" workbookViewId="0">
      <selection activeCell="M62" sqref="M62"/>
    </sheetView>
  </sheetViews>
  <sheetFormatPr defaultRowHeight="15" x14ac:dyDescent="0.25"/>
  <cols>
    <col min="1" max="1" width="2.85546875" customWidth="1"/>
    <col min="2" max="2" width="27.5703125" customWidth="1"/>
    <col min="3" max="3" width="21.85546875" customWidth="1"/>
    <col min="4" max="4" width="10.42578125" customWidth="1"/>
    <col min="5" max="5" width="21.85546875" customWidth="1"/>
    <col min="6" max="6" width="3.85546875" customWidth="1"/>
    <col min="7" max="7" width="31.42578125" customWidth="1"/>
    <col min="8" max="9" width="21.85546875" customWidth="1"/>
    <col min="10" max="10" width="19" customWidth="1"/>
    <col min="11" max="11" width="2.85546875" customWidth="1"/>
    <col min="12" max="12" width="7.7109375" customWidth="1"/>
    <col min="13" max="13" width="18.42578125" customWidth="1"/>
    <col min="15" max="18" width="11.42578125" hidden="1" customWidth="1"/>
    <col min="19" max="19" width="9.140625" collapsed="1"/>
  </cols>
  <sheetData>
    <row r="1" spans="2:11" ht="8.1" customHeight="1" x14ac:dyDescent="0.25"/>
    <row r="2" spans="2:11" ht="26.25" x14ac:dyDescent="0.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3" t="s">
        <v>1</v>
      </c>
      <c r="C3" s="2"/>
      <c r="D3" s="2"/>
      <c r="E3" s="2"/>
      <c r="F3" s="2"/>
      <c r="G3" s="2"/>
      <c r="H3" s="2"/>
      <c r="I3" s="2"/>
      <c r="J3" s="2"/>
      <c r="K3" s="2"/>
    </row>
    <row r="4" spans="2:11" ht="8.1" customHeight="1" x14ac:dyDescent="0.25"/>
    <row r="5" spans="2:11" ht="17.25" x14ac:dyDescent="0.3">
      <c r="B5" s="4" t="s">
        <v>2</v>
      </c>
      <c r="C5" s="5"/>
      <c r="D5" s="5"/>
      <c r="E5" s="5"/>
      <c r="G5" s="4" t="s">
        <v>13</v>
      </c>
      <c r="H5" s="5"/>
      <c r="I5" s="5"/>
    </row>
    <row r="6" spans="2:11" x14ac:dyDescent="0.25">
      <c r="B6" s="6" t="s">
        <v>3</v>
      </c>
      <c r="C6" s="43">
        <v>1000000</v>
      </c>
      <c r="D6" s="7" t="s">
        <v>4</v>
      </c>
      <c r="G6" s="47" t="s">
        <v>14</v>
      </c>
      <c r="H6" s="63">
        <f>COUNT(C12:C36,E12:E36)</f>
        <v>50</v>
      </c>
    </row>
    <row r="7" spans="2:11" x14ac:dyDescent="0.25">
      <c r="B7" s="6" t="s">
        <v>5</v>
      </c>
      <c r="C7" s="44">
        <v>0.95</v>
      </c>
      <c r="D7" s="7" t="s">
        <v>6</v>
      </c>
      <c r="G7" s="65" t="s">
        <v>15</v>
      </c>
      <c r="H7" s="66">
        <f>AVERAGE(C12:C36,E12:E36)</f>
        <v>-3.3E-4</v>
      </c>
    </row>
    <row r="8" spans="2:11" x14ac:dyDescent="0.25">
      <c r="B8" s="6" t="s">
        <v>7</v>
      </c>
      <c r="C8" s="45">
        <v>1</v>
      </c>
      <c r="D8" s="7" t="s">
        <v>8</v>
      </c>
      <c r="G8" s="65" t="s">
        <v>16</v>
      </c>
      <c r="H8" s="66">
        <f>STDEV(C12:C36,E12:E36)</f>
        <v>1.0157660223914256E-2</v>
      </c>
    </row>
    <row r="9" spans="2:11" ht="17.25" customHeight="1" x14ac:dyDescent="0.25">
      <c r="G9" s="65" t="s">
        <v>17</v>
      </c>
      <c r="H9" s="67">
        <f>MIN(C12:C36,E12:E36)</f>
        <v>-2.41E-2</v>
      </c>
    </row>
    <row r="10" spans="2:11" ht="17.25" x14ac:dyDescent="0.3">
      <c r="B10" s="4" t="s">
        <v>9</v>
      </c>
      <c r="C10" s="5"/>
      <c r="D10" s="5"/>
      <c r="E10" s="5"/>
      <c r="G10" s="65" t="s">
        <v>18</v>
      </c>
      <c r="H10" s="68">
        <f>MAX(C12:C36,E12:E36)</f>
        <v>1.49E-2</v>
      </c>
    </row>
    <row r="11" spans="2:11" ht="15.75" thickBot="1" x14ac:dyDescent="0.3">
      <c r="B11" s="71" t="s">
        <v>10</v>
      </c>
      <c r="C11" s="71" t="s">
        <v>11</v>
      </c>
      <c r="D11" s="72" t="s">
        <v>10</v>
      </c>
      <c r="E11" s="71" t="s">
        <v>11</v>
      </c>
      <c r="G11" s="65" t="s">
        <v>19</v>
      </c>
      <c r="H11" s="70">
        <f>SKEW(C12:C36,E12:E36)</f>
        <v>-0.57784304376884899</v>
      </c>
    </row>
    <row r="12" spans="2:11" x14ac:dyDescent="0.25">
      <c r="B12" s="10">
        <v>1</v>
      </c>
      <c r="C12" s="11">
        <v>8.2000000000000007E-3</v>
      </c>
      <c r="D12" s="10">
        <v>26</v>
      </c>
      <c r="E12" s="11">
        <v>1.1000000000000001E-3</v>
      </c>
      <c r="G12" s="64" t="s">
        <v>20</v>
      </c>
      <c r="H12" s="69">
        <f>KURT(C12:C36,E12:E36)</f>
        <v>-0.57171448623159682</v>
      </c>
    </row>
    <row r="13" spans="2:11" x14ac:dyDescent="0.25">
      <c r="B13" s="8">
        <v>2</v>
      </c>
      <c r="C13" s="9">
        <v>-1.34E-2</v>
      </c>
      <c r="D13" s="8">
        <v>27</v>
      </c>
      <c r="E13" s="9">
        <v>-1.78E-2</v>
      </c>
    </row>
    <row r="14" spans="2:11" ht="17.25" x14ac:dyDescent="0.3">
      <c r="B14" s="10">
        <v>3</v>
      </c>
      <c r="C14" s="11">
        <v>5.1000000000000004E-3</v>
      </c>
      <c r="D14" s="10">
        <v>28</v>
      </c>
      <c r="E14" s="11">
        <v>9.1999999999999998E-3</v>
      </c>
      <c r="G14" s="4" t="s">
        <v>21</v>
      </c>
      <c r="H14" s="5"/>
      <c r="I14" s="5"/>
    </row>
    <row r="15" spans="2:11" ht="15.75" thickBot="1" x14ac:dyDescent="0.3">
      <c r="B15" s="8">
        <v>4</v>
      </c>
      <c r="C15" s="9">
        <v>-2.3E-3</v>
      </c>
      <c r="D15" s="8">
        <v>29</v>
      </c>
      <c r="E15" s="9">
        <v>-2.5000000000000001E-3</v>
      </c>
      <c r="G15" s="73" t="s">
        <v>22</v>
      </c>
      <c r="H15" s="73" t="s">
        <v>23</v>
      </c>
      <c r="I15" s="73" t="s">
        <v>24</v>
      </c>
    </row>
    <row r="16" spans="2:11" x14ac:dyDescent="0.25">
      <c r="B16" s="10">
        <v>5</v>
      </c>
      <c r="C16" s="11">
        <v>1.15E-2</v>
      </c>
      <c r="D16" s="10">
        <v>30</v>
      </c>
      <c r="E16" s="11">
        <v>1.37E-2</v>
      </c>
      <c r="G16" s="18">
        <v>1</v>
      </c>
      <c r="H16" s="19">
        <f>SMALL((C$12:C$36,E$12:E$36),G16)</f>
        <v>-2.41E-2</v>
      </c>
      <c r="I16" s="20">
        <f>G16/H$6</f>
        <v>0.02</v>
      </c>
    </row>
    <row r="17" spans="2:11" x14ac:dyDescent="0.25">
      <c r="B17" s="8">
        <v>6</v>
      </c>
      <c r="C17" s="9">
        <v>-1.9800000000000002E-2</v>
      </c>
      <c r="D17" s="8">
        <v>31</v>
      </c>
      <c r="E17" s="9">
        <v>-5.4000000000000003E-3</v>
      </c>
      <c r="G17" s="15">
        <v>2</v>
      </c>
      <c r="H17" s="16">
        <f>SMALL((C$12:C$36,E$12:E$36),G17)</f>
        <v>-2.01E-2</v>
      </c>
      <c r="I17" s="17">
        <f>G17/H$6</f>
        <v>0.04</v>
      </c>
    </row>
    <row r="18" spans="2:11" x14ac:dyDescent="0.25">
      <c r="B18" s="10">
        <v>7</v>
      </c>
      <c r="C18" s="11">
        <v>6.7000000000000002E-3</v>
      </c>
      <c r="D18" s="10">
        <v>32</v>
      </c>
      <c r="E18" s="11">
        <v>6.6E-3</v>
      </c>
      <c r="G18" s="18">
        <v>3</v>
      </c>
      <c r="H18" s="19">
        <f>SMALL((C$12:C$36,E$12:E$36),G18)</f>
        <v>-1.9800000000000002E-2</v>
      </c>
      <c r="I18" s="20">
        <f>G18/H$6</f>
        <v>0.06</v>
      </c>
    </row>
    <row r="19" spans="2:11" x14ac:dyDescent="0.25">
      <c r="B19" s="8">
        <v>8</v>
      </c>
      <c r="C19" s="9">
        <v>2.8999999999999998E-3</v>
      </c>
      <c r="D19" s="8">
        <v>33</v>
      </c>
      <c r="E19" s="9">
        <v>-1.1299999999999999E-2</v>
      </c>
      <c r="G19" s="15">
        <v>4</v>
      </c>
      <c r="H19" s="16">
        <f>SMALL((C$12:C$36,E$12:E$36),G19)</f>
        <v>-1.78E-2</v>
      </c>
      <c r="I19" s="17">
        <f>G19/H$6</f>
        <v>0.08</v>
      </c>
    </row>
    <row r="20" spans="2:11" x14ac:dyDescent="0.25">
      <c r="B20" s="10">
        <v>9</v>
      </c>
      <c r="C20" s="11">
        <v>-7.1000000000000004E-3</v>
      </c>
      <c r="D20" s="10">
        <v>34</v>
      </c>
      <c r="E20" s="11">
        <v>8.6999999999999994E-3</v>
      </c>
      <c r="G20" s="18">
        <v>5</v>
      </c>
      <c r="H20" s="19">
        <f>SMALL((C$12:C$36,E$12:E$36),G20)</f>
        <v>-1.6799999999999999E-2</v>
      </c>
      <c r="I20" s="20">
        <f>G20/H$6</f>
        <v>0.1</v>
      </c>
    </row>
    <row r="21" spans="2:11" x14ac:dyDescent="0.25">
      <c r="B21" s="8">
        <v>10</v>
      </c>
      <c r="C21" s="9">
        <v>1.43E-2</v>
      </c>
      <c r="D21" s="8">
        <v>35</v>
      </c>
      <c r="E21" s="9">
        <v>-8.0000000000000004E-4</v>
      </c>
      <c r="G21" s="15">
        <v>6</v>
      </c>
      <c r="H21" s="16">
        <f>SMALL((C$12:C$36,E$12:E$36),G21)</f>
        <v>-1.5599999999999999E-2</v>
      </c>
      <c r="I21" s="17">
        <f>G21/H$6</f>
        <v>0.12</v>
      </c>
    </row>
    <row r="22" spans="2:11" x14ac:dyDescent="0.25">
      <c r="B22" s="10">
        <v>11</v>
      </c>
      <c r="C22" s="11">
        <v>-4.4999999999999997E-3</v>
      </c>
      <c r="D22" s="10">
        <v>36</v>
      </c>
      <c r="E22" s="11">
        <v>1.49E-2</v>
      </c>
      <c r="G22" s="18">
        <v>7</v>
      </c>
      <c r="H22" s="19">
        <f>SMALL((C$12:C$36,E$12:E$36),G22)</f>
        <v>-1.47E-2</v>
      </c>
      <c r="I22" s="20">
        <f>G22/H$6</f>
        <v>0.14000000000000001</v>
      </c>
    </row>
    <row r="23" spans="2:11" x14ac:dyDescent="0.25">
      <c r="B23" s="8">
        <v>12</v>
      </c>
      <c r="C23" s="9">
        <v>9.7999999999999997E-3</v>
      </c>
      <c r="D23" s="8">
        <v>37</v>
      </c>
      <c r="E23" s="9">
        <v>-6.1999999999999998E-3</v>
      </c>
      <c r="G23" s="15">
        <v>8</v>
      </c>
      <c r="H23" s="16">
        <f>SMALL((C$12:C$36,E$12:E$36),G23)</f>
        <v>-1.34E-2</v>
      </c>
      <c r="I23" s="17">
        <f>G23/H$6</f>
        <v>0.16</v>
      </c>
    </row>
    <row r="24" spans="2:11" x14ac:dyDescent="0.25">
      <c r="B24" s="10">
        <v>13</v>
      </c>
      <c r="C24" s="11">
        <v>-1.5599999999999999E-2</v>
      </c>
      <c r="D24" s="10">
        <v>38</v>
      </c>
      <c r="E24" s="11">
        <v>3.8E-3</v>
      </c>
      <c r="G24" s="18">
        <v>9</v>
      </c>
      <c r="H24" s="19">
        <f>SMALL((C$12:C$36,E$12:E$36),G24)</f>
        <v>-1.1299999999999999E-2</v>
      </c>
      <c r="I24" s="20">
        <f>G24/H$6</f>
        <v>0.18</v>
      </c>
    </row>
    <row r="25" spans="2:11" x14ac:dyDescent="0.25">
      <c r="B25" s="8">
        <v>14</v>
      </c>
      <c r="C25" s="9">
        <v>3.3999999999999998E-3</v>
      </c>
      <c r="D25" s="8">
        <v>39</v>
      </c>
      <c r="E25" s="9">
        <v>-2.01E-2</v>
      </c>
      <c r="G25" s="15">
        <v>10</v>
      </c>
      <c r="H25" s="16">
        <f>SMALL((C$12:C$36,E$12:E$36),G25)</f>
        <v>-9.5999999999999992E-3</v>
      </c>
      <c r="I25" s="17">
        <f>G25/H$6</f>
        <v>0.2</v>
      </c>
    </row>
    <row r="26" spans="2:11" x14ac:dyDescent="0.25">
      <c r="B26" s="10">
        <v>15</v>
      </c>
      <c r="C26" s="11">
        <v>-1.1999999999999999E-3</v>
      </c>
      <c r="D26" s="10">
        <v>40</v>
      </c>
      <c r="E26" s="11">
        <v>7.4000000000000003E-3</v>
      </c>
    </row>
    <row r="27" spans="2:11" ht="17.25" x14ac:dyDescent="0.3">
      <c r="B27" s="8">
        <v>16</v>
      </c>
      <c r="C27" s="9">
        <v>7.6E-3</v>
      </c>
      <c r="D27" s="8">
        <v>41</v>
      </c>
      <c r="E27" s="9">
        <v>2.3E-3</v>
      </c>
      <c r="G27" s="21" t="s">
        <v>25</v>
      </c>
      <c r="H27" s="2"/>
      <c r="I27" s="2"/>
      <c r="J27" s="2"/>
      <c r="K27" s="2"/>
    </row>
    <row r="28" spans="2:11" x14ac:dyDescent="0.25">
      <c r="B28" s="10">
        <v>17</v>
      </c>
      <c r="C28" s="11">
        <v>-8.8999999999999999E-3</v>
      </c>
      <c r="D28" s="10">
        <v>42</v>
      </c>
      <c r="E28" s="11">
        <v>-9.5999999999999992E-3</v>
      </c>
    </row>
    <row r="29" spans="2:11" ht="15.75" x14ac:dyDescent="0.25">
      <c r="B29" s="8">
        <v>18</v>
      </c>
      <c r="C29" s="9">
        <v>1.21E-2</v>
      </c>
      <c r="D29" s="8">
        <v>43</v>
      </c>
      <c r="E29" s="9">
        <v>5.4999999999999997E-3</v>
      </c>
      <c r="G29" s="22" t="s">
        <v>26</v>
      </c>
      <c r="H29" s="23"/>
      <c r="I29" s="23"/>
      <c r="J29" s="23"/>
      <c r="K29" s="23"/>
    </row>
    <row r="30" spans="2:11" x14ac:dyDescent="0.25">
      <c r="B30" s="10">
        <v>19</v>
      </c>
      <c r="C30" s="11">
        <v>-3.3E-3</v>
      </c>
      <c r="D30" s="10">
        <v>44</v>
      </c>
      <c r="E30" s="11">
        <v>-1.47E-2</v>
      </c>
      <c r="G30" s="25" t="s">
        <v>27</v>
      </c>
      <c r="H30" s="26" t="s">
        <v>28</v>
      </c>
    </row>
    <row r="31" spans="2:11" x14ac:dyDescent="0.25">
      <c r="B31" s="8">
        <v>20</v>
      </c>
      <c r="C31" s="9">
        <v>5.7999999999999996E-3</v>
      </c>
      <c r="D31" s="8">
        <v>45</v>
      </c>
      <c r="E31" s="9">
        <v>1.12E-2</v>
      </c>
      <c r="G31" s="6" t="s">
        <v>29</v>
      </c>
      <c r="H31" s="13">
        <f>SMALL((C$12:C$36,E$12:E$36),MAX(1,ROUND((1-C7)*H6,0)))</f>
        <v>-1.9800000000000002E-2</v>
      </c>
      <c r="I31" s="7" t="s">
        <v>30</v>
      </c>
    </row>
    <row r="32" spans="2:11" ht="15.75" thickBot="1" x14ac:dyDescent="0.3">
      <c r="B32" s="10">
        <v>21</v>
      </c>
      <c r="C32" s="11">
        <v>-2.41E-2</v>
      </c>
      <c r="D32" s="10">
        <v>46</v>
      </c>
      <c r="E32" s="11">
        <v>-3.0999999999999999E-3</v>
      </c>
      <c r="G32" s="6" t="s">
        <v>31</v>
      </c>
      <c r="H32" s="13">
        <f>H31*SQRT(C8)</f>
        <v>-1.9800000000000002E-2</v>
      </c>
      <c r="I32" s="7" t="s">
        <v>32</v>
      </c>
    </row>
    <row r="33" spans="2:11" ht="19.5" thickBot="1" x14ac:dyDescent="0.35">
      <c r="B33" s="8">
        <v>22</v>
      </c>
      <c r="C33" s="9">
        <v>1.9E-3</v>
      </c>
      <c r="D33" s="8">
        <v>47</v>
      </c>
      <c r="E33" s="9">
        <v>8.3999999999999995E-3</v>
      </c>
      <c r="G33" s="27" t="s">
        <v>33</v>
      </c>
      <c r="H33" s="46">
        <f>ABS(H32)*C6</f>
        <v>19800</v>
      </c>
      <c r="I33" s="28" t="s">
        <v>34</v>
      </c>
    </row>
    <row r="34" spans="2:11" x14ac:dyDescent="0.25">
      <c r="B34" s="10">
        <v>23</v>
      </c>
      <c r="C34" s="11">
        <v>1.03E-2</v>
      </c>
      <c r="D34" s="10">
        <v>48</v>
      </c>
      <c r="E34" s="11">
        <v>-4.3E-3</v>
      </c>
    </row>
    <row r="35" spans="2:11" ht="15.75" x14ac:dyDescent="0.25">
      <c r="B35" s="8">
        <v>24</v>
      </c>
      <c r="C35" s="9">
        <v>-6.7000000000000002E-3</v>
      </c>
      <c r="D35" s="8">
        <v>49</v>
      </c>
      <c r="E35" s="9">
        <v>6.1000000000000004E-3</v>
      </c>
      <c r="G35" s="29" t="s">
        <v>35</v>
      </c>
      <c r="H35" s="30"/>
      <c r="I35" s="30"/>
      <c r="J35" s="30"/>
      <c r="K35" s="30"/>
    </row>
    <row r="36" spans="2:11" x14ac:dyDescent="0.25">
      <c r="B36" s="10">
        <v>25</v>
      </c>
      <c r="C36" s="11">
        <v>4.4999999999999997E-3</v>
      </c>
      <c r="D36" s="10">
        <v>50</v>
      </c>
      <c r="E36" s="11">
        <v>-1.6799999999999999E-2</v>
      </c>
      <c r="G36" s="25" t="s">
        <v>27</v>
      </c>
      <c r="H36" s="26" t="s">
        <v>36</v>
      </c>
    </row>
    <row r="37" spans="2:11" x14ac:dyDescent="0.25">
      <c r="B37" s="12" t="s">
        <v>12</v>
      </c>
      <c r="G37" s="6" t="s">
        <v>37</v>
      </c>
      <c r="H37" s="14">
        <f>_xlfn.NORM.S.INV(1-C7)</f>
        <v>-1.6448536269514715</v>
      </c>
      <c r="I37" s="7" t="s">
        <v>38</v>
      </c>
    </row>
    <row r="38" spans="2:11" x14ac:dyDescent="0.25">
      <c r="G38" s="6" t="s">
        <v>39</v>
      </c>
      <c r="H38" s="13">
        <f>H7+H37*H8</f>
        <v>-1.703786426064606E-2</v>
      </c>
      <c r="I38" s="31" t="s">
        <v>40</v>
      </c>
    </row>
    <row r="39" spans="2:11" ht="16.5" thickBot="1" x14ac:dyDescent="0.3">
      <c r="B39" s="35" t="s">
        <v>51</v>
      </c>
      <c r="C39" s="33"/>
      <c r="D39" s="33"/>
      <c r="E39" s="33"/>
      <c r="G39" s="6" t="s">
        <v>31</v>
      </c>
      <c r="H39" s="13">
        <f>H38*SQRT(C8)</f>
        <v>-1.703786426064606E-2</v>
      </c>
      <c r="I39" s="7" t="s">
        <v>32</v>
      </c>
    </row>
    <row r="40" spans="2:11" ht="19.5" thickBot="1" x14ac:dyDescent="0.35">
      <c r="B40" s="36" t="s">
        <v>52</v>
      </c>
      <c r="C40" s="38" t="s">
        <v>53</v>
      </c>
      <c r="G40" s="27" t="s">
        <v>41</v>
      </c>
      <c r="H40" s="46">
        <f>ABS(H39)*C6</f>
        <v>17037.86426064606</v>
      </c>
      <c r="I40" s="28" t="s">
        <v>34</v>
      </c>
    </row>
    <row r="41" spans="2:11" x14ac:dyDescent="0.25">
      <c r="B41" s="39" t="s">
        <v>54</v>
      </c>
      <c r="C41" s="37" t="s">
        <v>55</v>
      </c>
    </row>
    <row r="42" spans="2:11" ht="17.25" x14ac:dyDescent="0.3">
      <c r="B42" s="40" t="s">
        <v>56</v>
      </c>
      <c r="C42" s="38" t="s">
        <v>57</v>
      </c>
      <c r="G42" s="21" t="s">
        <v>42</v>
      </c>
      <c r="H42" s="2"/>
      <c r="I42" s="2"/>
      <c r="J42" s="2"/>
      <c r="K42" s="2"/>
    </row>
    <row r="43" spans="2:11" x14ac:dyDescent="0.25">
      <c r="B43" s="24" t="s">
        <v>58</v>
      </c>
      <c r="C43" s="37" t="s">
        <v>59</v>
      </c>
      <c r="G43" s="48"/>
      <c r="H43" s="49" t="s">
        <v>43</v>
      </c>
      <c r="I43" s="50" t="s">
        <v>44</v>
      </c>
      <c r="J43" s="51" t="s">
        <v>45</v>
      </c>
    </row>
    <row r="44" spans="2:11" x14ac:dyDescent="0.25">
      <c r="G44" s="52" t="s">
        <v>46</v>
      </c>
      <c r="H44" s="53">
        <f>H32</f>
        <v>-1.9800000000000002E-2</v>
      </c>
      <c r="I44" s="53">
        <f>H39</f>
        <v>-1.703786426064606E-2</v>
      </c>
      <c r="J44" s="54">
        <f>ABS(H44)-ABS(I44)</f>
        <v>2.7621357393539415E-3</v>
      </c>
    </row>
    <row r="45" spans="2:11" ht="15.75" x14ac:dyDescent="0.25">
      <c r="B45" s="41" t="s">
        <v>60</v>
      </c>
      <c r="G45" s="55" t="s">
        <v>47</v>
      </c>
      <c r="H45" s="56">
        <f>H33</f>
        <v>19800</v>
      </c>
      <c r="I45" s="56">
        <f>H40</f>
        <v>17037.86426064606</v>
      </c>
      <c r="J45" s="57">
        <f>H45-I45</f>
        <v>2762.1357393539402</v>
      </c>
    </row>
    <row r="46" spans="2:11" x14ac:dyDescent="0.25">
      <c r="B46" s="24">
        <v>1</v>
      </c>
      <c r="C46" s="24" t="s">
        <v>61</v>
      </c>
      <c r="G46" s="52" t="s">
        <v>48</v>
      </c>
      <c r="H46" s="58">
        <f>H33/C6</f>
        <v>1.9800000000000002E-2</v>
      </c>
      <c r="I46" s="58">
        <f>H40/C6</f>
        <v>1.703786426064606E-2</v>
      </c>
      <c r="J46" s="59">
        <f>H46-I46</f>
        <v>2.7621357393539415E-3</v>
      </c>
    </row>
    <row r="47" spans="2:11" x14ac:dyDescent="0.25">
      <c r="B47" s="24">
        <v>2</v>
      </c>
      <c r="C47" s="24" t="s">
        <v>62</v>
      </c>
      <c r="G47" s="60" t="s">
        <v>49</v>
      </c>
      <c r="H47" s="61" t="str">
        <f>IF(H45&gt;=I45,"✅ Yes","")</f>
        <v>✅ Yes</v>
      </c>
      <c r="I47" s="61" t="str">
        <f>IF(I45&gt;=H45,"✅ Yes","")</f>
        <v/>
      </c>
      <c r="J47" s="62"/>
    </row>
    <row r="48" spans="2:11" x14ac:dyDescent="0.25">
      <c r="B48" s="24">
        <v>3</v>
      </c>
      <c r="C48" s="24" t="s">
        <v>63</v>
      </c>
    </row>
    <row r="49" spans="2:11" ht="15.75" x14ac:dyDescent="0.25">
      <c r="B49" s="24">
        <v>4</v>
      </c>
      <c r="C49" s="24" t="s">
        <v>64</v>
      </c>
      <c r="G49" s="75" t="s">
        <v>50</v>
      </c>
      <c r="H49" s="33"/>
      <c r="I49" s="33"/>
      <c r="J49" s="33"/>
      <c r="K49" s="33"/>
    </row>
    <row r="50" spans="2:11" x14ac:dyDescent="0.25">
      <c r="B50" s="24">
        <v>5</v>
      </c>
      <c r="C50" s="42" t="s">
        <v>65</v>
      </c>
      <c r="G50" s="76" t="str">
        <f>"At "&amp;TEXT(C7,"0%")&amp;" confidence, your $"&amp;TEXT(C6,"#,##0")&amp;" portfolio"</f>
        <v>At 95% confidence, your $1,000,000 portfolio</v>
      </c>
      <c r="H50" s="34"/>
      <c r="I50" s="34"/>
      <c r="J50" s="34"/>
      <c r="K50" s="34"/>
    </row>
    <row r="51" spans="2:11" x14ac:dyDescent="0.25">
      <c r="G51" s="77" t="str">
        <f>"should not lose more than "&amp;TEXT(MAX(H33,H40),"$#,##0")&amp;" in "&amp;TEXT(C8,"0")&amp;" day(s)."</f>
        <v>should not lose more than $19,800 in 1 day(s).</v>
      </c>
      <c r="H51" s="34"/>
      <c r="I51" s="34"/>
      <c r="J51" s="34"/>
      <c r="K51" s="34"/>
    </row>
    <row r="52" spans="2:11" x14ac:dyDescent="0.25">
      <c r="G52" s="78" t="str">
        <f>IF(ABS(J44)&gt;0.005,"Note: Methods differ by "&amp;TEXT(ABS(J45),"$#,##0")&amp;". This may indicate non-normal return distribution.","Note: Methods are closely aligned, suggesting returns are approximately normal.")</f>
        <v>Note: Methods are closely aligned, suggesting returns are approximately normal.</v>
      </c>
      <c r="H52" s="74"/>
      <c r="I52" s="74"/>
      <c r="J52" s="74"/>
      <c r="K52" s="74"/>
    </row>
    <row r="53" spans="2:11" x14ac:dyDescent="0.25">
      <c r="C53" t="s">
        <v>68</v>
      </c>
    </row>
    <row r="54" spans="2:11" x14ac:dyDescent="0.25">
      <c r="B54" t="s">
        <v>66</v>
      </c>
      <c r="C54" s="32">
        <f>H33</f>
        <v>19800</v>
      </c>
    </row>
    <row r="55" spans="2:11" x14ac:dyDescent="0.25">
      <c r="B55" t="s">
        <v>67</v>
      </c>
      <c r="C55" s="32">
        <f>H40</f>
        <v>17037.86426064606</v>
      </c>
    </row>
  </sheetData>
  <conditionalFormatting sqref="C12:C36">
    <cfRule type="cellIs" dxfId="4" priority="1" operator="lessThan">
      <formula>0</formula>
    </cfRule>
  </conditionalFormatting>
  <conditionalFormatting sqref="C12:C36">
    <cfRule type="cellIs" dxfId="3" priority="2" operator="greaterThanOrEqual">
      <formula>0</formula>
    </cfRule>
  </conditionalFormatting>
  <conditionalFormatting sqref="E12:E36">
    <cfRule type="cellIs" dxfId="2" priority="3" operator="lessThan">
      <formula>0</formula>
    </cfRule>
  </conditionalFormatting>
  <conditionalFormatting sqref="E12:E36">
    <cfRule type="cellIs" dxfId="1" priority="4" operator="greaterThanOrEqual">
      <formula>0</formula>
    </cfRule>
  </conditionalFormatting>
  <conditionalFormatting sqref="H16:H25">
    <cfRule type="cellIs" dxfId="0" priority="5" operator="lessThan">
      <formula>0</formula>
    </cfRule>
  </conditionalFormatting>
  <dataValidations count="2">
    <dataValidation type="list" allowBlank="1" showInputMessage="1" showErrorMessage="1" promptTitle="Confidence Level" prompt="Select 90%, 95%, or 99% confidence level" sqref="C7" xr:uid="{7ABF3E13-BA1F-47C7-86E8-0E6111717FE8}">
      <formula1>"0.90,0.95,0.99"</formula1>
    </dataValidation>
    <dataValidation type="list" allowBlank="1" showInputMessage="1" showErrorMessage="1" promptTitle="Time Horizon" prompt="1=daily, 5=weekly, 10=biweekly, 21=monthly, 252=annual" sqref="C8" xr:uid="{876902C0-FA07-47A2-9980-68BD12040727}">
      <formula1>"1,5,10,21,252"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8381-7CF9-4488-A1FA-1B4F76329BE7}">
  <sheetPr>
    <tabColor rgb="FF3A7CA5"/>
  </sheetPr>
  <dimension ref="A1:D10"/>
  <sheetViews>
    <sheetView showGridLines="0" workbookViewId="0">
      <selection sqref="A1:B51"/>
    </sheetView>
  </sheetViews>
  <sheetFormatPr defaultRowHeight="15" x14ac:dyDescent="0.25"/>
  <cols>
    <col min="1" max="1" width="21" customWidth="1"/>
    <col min="2" max="4" width="14.28515625" customWidth="1"/>
  </cols>
  <sheetData>
    <row r="1" spans="1:4" x14ac:dyDescent="0.25">
      <c r="A1" s="79" t="s">
        <v>69</v>
      </c>
      <c r="B1" s="79" t="s">
        <v>70</v>
      </c>
      <c r="C1" s="79" t="s">
        <v>71</v>
      </c>
      <c r="D1" s="79" t="s">
        <v>72</v>
      </c>
    </row>
    <row r="2" spans="1:4" x14ac:dyDescent="0.25">
      <c r="A2" s="80" t="s">
        <v>73</v>
      </c>
      <c r="B2" s="81">
        <f>COUNTIF('VaR Calculator'!C$12:C$36,"&lt;"&amp;-0.02)+COUNTIF('VaR Calculator'!E$12:E$36,"&lt;"&amp;-0.02)</f>
        <v>2</v>
      </c>
      <c r="C2" s="80">
        <f>IF(-1&lt;'VaR Calculator'!H31,B2,0)</f>
        <v>2</v>
      </c>
      <c r="D2" s="80">
        <f>IF(-1&lt;'VaR Calculator'!H31,0,B2)</f>
        <v>0</v>
      </c>
    </row>
    <row r="3" spans="1:4" x14ac:dyDescent="0.25">
      <c r="A3" s="80" t="s">
        <v>74</v>
      </c>
      <c r="B3" s="81">
        <f>COUNTIFS('VaR Calculator'!C$12:C$36,"&gt;="&amp;-0.02,'VaR Calculator'!C$12:C$36,"&lt;"&amp;-0.015)+COUNTIFS('VaR Calculator'!E$12:E$36,"&gt;="&amp;-0.02,'VaR Calculator'!E$12:E$36,"&lt;"&amp;-0.015)</f>
        <v>4</v>
      </c>
      <c r="C3" s="80">
        <f>IF(-0.02&lt;'VaR Calculator'!H31,B3,0)</f>
        <v>4</v>
      </c>
      <c r="D3" s="80">
        <f>IF(-0.02&lt;'VaR Calculator'!H31,0,B3)</f>
        <v>0</v>
      </c>
    </row>
    <row r="4" spans="1:4" x14ac:dyDescent="0.25">
      <c r="A4" s="80" t="s">
        <v>75</v>
      </c>
      <c r="B4" s="81">
        <f>COUNTIFS('VaR Calculator'!C$12:C$36,"&gt;="&amp;-0.015,'VaR Calculator'!C$12:C$36,"&lt;"&amp;-0.01)+COUNTIFS('VaR Calculator'!E$12:E$36,"&gt;="&amp;-0.015,'VaR Calculator'!E$12:E$36,"&lt;"&amp;-0.01)</f>
        <v>3</v>
      </c>
      <c r="C4" s="80">
        <f>IF(-0.015&lt;'VaR Calculator'!H31,B4,0)</f>
        <v>0</v>
      </c>
      <c r="D4" s="80">
        <f>IF(-0.015&lt;'VaR Calculator'!H31,0,B4)</f>
        <v>3</v>
      </c>
    </row>
    <row r="5" spans="1:4" x14ac:dyDescent="0.25">
      <c r="A5" s="80" t="s">
        <v>76</v>
      </c>
      <c r="B5" s="81">
        <f>COUNTIFS('VaR Calculator'!C$12:C$36,"&gt;="&amp;-0.01,'VaR Calculator'!C$12:C$36,"&lt;"&amp;-0.005)+COUNTIFS('VaR Calculator'!E$12:E$36,"&gt;="&amp;-0.01,'VaR Calculator'!E$12:E$36,"&lt;"&amp;-0.005)</f>
        <v>6</v>
      </c>
      <c r="C5" s="80">
        <f>IF(-0.01&lt;'VaR Calculator'!H31,B5,0)</f>
        <v>0</v>
      </c>
      <c r="D5" s="80">
        <f>IF(-0.01&lt;'VaR Calculator'!H31,0,B5)</f>
        <v>6</v>
      </c>
    </row>
    <row r="6" spans="1:4" x14ac:dyDescent="0.25">
      <c r="A6" s="80" t="s">
        <v>77</v>
      </c>
      <c r="B6" s="81">
        <f>COUNTIFS('VaR Calculator'!C$12:C$36,"&gt;="&amp;-0.005,'VaR Calculator'!C$12:C$36,"&lt;"&amp;0)+COUNTIFS('VaR Calculator'!E$12:E$36,"&gt;="&amp;-0.005,'VaR Calculator'!E$12:E$36,"&lt;"&amp;0)</f>
        <v>8</v>
      </c>
      <c r="C6" s="80">
        <f>IF(-0.005&lt;'VaR Calculator'!H31,B6,0)</f>
        <v>0</v>
      </c>
      <c r="D6" s="80">
        <f>IF(-0.005&lt;'VaR Calculator'!H31,0,B6)</f>
        <v>8</v>
      </c>
    </row>
    <row r="7" spans="1:4" x14ac:dyDescent="0.25">
      <c r="A7" s="80" t="s">
        <v>78</v>
      </c>
      <c r="B7" s="81">
        <f>COUNTIFS('VaR Calculator'!C$12:C$36,"&gt;="&amp;0,'VaR Calculator'!C$12:C$36,"&lt;"&amp;0.005)+COUNTIFS('VaR Calculator'!E$12:E$36,"&gt;="&amp;0,'VaR Calculator'!E$12:E$36,"&lt;"&amp;0.005)</f>
        <v>7</v>
      </c>
      <c r="C7" s="80">
        <f>IF(0&lt;'VaR Calculator'!H31,B7,0)</f>
        <v>0</v>
      </c>
      <c r="D7" s="80">
        <f>IF(0&lt;'VaR Calculator'!H31,0,B7)</f>
        <v>7</v>
      </c>
    </row>
    <row r="8" spans="1:4" x14ac:dyDescent="0.25">
      <c r="A8" s="80" t="s">
        <v>79</v>
      </c>
      <c r="B8" s="81">
        <f>COUNTIFS('VaR Calculator'!C$12:C$36,"&gt;="&amp;0.005,'VaR Calculator'!C$12:C$36,"&lt;"&amp;0.01)+COUNTIFS('VaR Calculator'!E$12:E$36,"&gt;="&amp;0.005,'VaR Calculator'!E$12:E$36,"&lt;"&amp;0.01)</f>
        <v>13</v>
      </c>
      <c r="C8" s="80">
        <f>IF(0.005&lt;'VaR Calculator'!H31,B8,0)</f>
        <v>0</v>
      </c>
      <c r="D8" s="80">
        <f>IF(0.005&lt;'VaR Calculator'!H31,0,B8)</f>
        <v>13</v>
      </c>
    </row>
    <row r="9" spans="1:4" x14ac:dyDescent="0.25">
      <c r="A9" s="80" t="s">
        <v>80</v>
      </c>
      <c r="B9" s="81">
        <f>COUNTIFS('VaR Calculator'!C$12:C$36,"&gt;="&amp;0.01,'VaR Calculator'!C$12:C$36,"&lt;"&amp;0.015)+COUNTIFS('VaR Calculator'!E$12:E$36,"&gt;="&amp;0.01,'VaR Calculator'!E$12:E$36,"&lt;"&amp;0.015)</f>
        <v>7</v>
      </c>
      <c r="C9" s="80">
        <f>IF(0.01&lt;'VaR Calculator'!H31,B9,0)</f>
        <v>0</v>
      </c>
      <c r="D9" s="80">
        <f>IF(0.01&lt;'VaR Calculator'!H31,0,B9)</f>
        <v>7</v>
      </c>
    </row>
    <row r="10" spans="1:4" x14ac:dyDescent="0.25">
      <c r="A10" s="80" t="s">
        <v>81</v>
      </c>
      <c r="B10" s="81">
        <f>COUNTIF('VaR Calculator'!C$12:C$36,"&gt;="&amp;0.015)+COUNTIF('VaR Calculator'!E$12:E$36,"&gt;="&amp;0.015)</f>
        <v>0</v>
      </c>
      <c r="C10" s="80">
        <f>IF(0.015&lt;'VaR Calculator'!H31,B10,0)</f>
        <v>0</v>
      </c>
      <c r="D10" s="80">
        <f>IF(0.015&lt;'VaR Calculator'!H31,0,B10)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 Calculator</vt:lpstr>
      <vt:lpstr>Distribution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Raja</dc:creator>
  <cp:lastModifiedBy>Mustafa Raja</cp:lastModifiedBy>
  <dcterms:created xsi:type="dcterms:W3CDTF">2026-04-05T22:31:56Z</dcterms:created>
  <dcterms:modified xsi:type="dcterms:W3CDTF">2026-04-05T22:54:53Z</dcterms:modified>
</cp:coreProperties>
</file>